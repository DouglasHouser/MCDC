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merts/Downloads/"/>
    </mc:Choice>
  </mc:AlternateContent>
  <xr:revisionPtr revIDLastSave="0" documentId="8_{5A6B309C-7D14-3640-964D-63B3DF3BC4F1}" xr6:coauthVersionLast="47" xr6:coauthVersionMax="47" xr10:uidLastSave="{00000000-0000-0000-0000-000000000000}"/>
  <bookViews>
    <workbookView xWindow="39380" yWindow="3580" windowWidth="34180" windowHeight="21920" xr2:uid="{79D784C4-4463-2542-993A-5D2EB5D84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3" i="1"/>
</calcChain>
</file>

<file path=xl/sharedStrings.xml><?xml version="1.0" encoding="utf-8"?>
<sst xmlns="http://schemas.openxmlformats.org/spreadsheetml/2006/main" count="4" uniqueCount="4">
  <si>
    <t>Volume Average r</t>
  </si>
  <si>
    <t>Flux per source particle</t>
  </si>
  <si>
    <t>Standard Error</t>
  </si>
  <si>
    <t>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</si>
</sst>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Flux per source particle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1.5</c:v>
                </c:pt>
                <c:pt idx="1">
                  <c:v>3.2142857142857144</c:v>
                </c:pt>
                <c:pt idx="2">
                  <c:v>5.1315789473684212</c:v>
                </c:pt>
                <c:pt idx="3">
                  <c:v>7.0945945945945947</c:v>
                </c:pt>
                <c:pt idx="4">
                  <c:v>9.0737704918032787</c:v>
                </c:pt>
                <c:pt idx="5">
                  <c:v>11.06043956043956</c:v>
                </c:pt>
                <c:pt idx="6">
                  <c:v>13.051181102362206</c:v>
                </c:pt>
                <c:pt idx="7">
                  <c:v>15.044378698224852</c:v>
                </c:pt>
                <c:pt idx="8">
                  <c:v>17.039170506912441</c:v>
                </c:pt>
                <c:pt idx="9">
                  <c:v>19.035055350553506</c:v>
                </c:pt>
                <c:pt idx="10">
                  <c:v>21.031722054380666</c:v>
                </c:pt>
                <c:pt idx="11">
                  <c:v>23.028967254408059</c:v>
                </c:pt>
                <c:pt idx="12">
                  <c:v>25.026652452025587</c:v>
                </c:pt>
                <c:pt idx="13">
                  <c:v>27.024680073126142</c:v>
                </c:pt>
                <c:pt idx="14">
                  <c:v>29.022979397781299</c:v>
                </c:pt>
                <c:pt idx="15">
                  <c:v>31.021497919556172</c:v>
                </c:pt>
                <c:pt idx="16">
                  <c:v>33.020195838433295</c:v>
                </c:pt>
                <c:pt idx="17">
                  <c:v>35.019042437431992</c:v>
                </c:pt>
                <c:pt idx="18">
                  <c:v>37.018013631937684</c:v>
                </c:pt>
                <c:pt idx="19">
                  <c:v>39.017090271691501</c:v>
                </c:pt>
              </c:numCache>
            </c:numRef>
          </c:xVal>
          <c:yVal>
            <c:numRef>
              <c:f>Sheet1!$C$2:$C$21</c:f>
              <c:numCache>
                <c:formatCode>0.00E+00</c:formatCode>
                <c:ptCount val="20"/>
                <c:pt idx="0">
                  <c:v>7.1518899999999996E-2</c:v>
                </c:pt>
                <c:pt idx="1">
                  <c:v>1.35754E-2</c:v>
                </c:pt>
                <c:pt idx="2">
                  <c:v>5.9501700000000003E-3</c:v>
                </c:pt>
                <c:pt idx="3">
                  <c:v>3.34367E-3</c:v>
                </c:pt>
                <c:pt idx="4">
                  <c:v>2.1012600000000002E-3</c:v>
                </c:pt>
                <c:pt idx="5">
                  <c:v>1.40766E-3</c:v>
                </c:pt>
                <c:pt idx="6">
                  <c:v>9.8031000000000008E-4</c:v>
                </c:pt>
                <c:pt idx="7">
                  <c:v>7.0277499999999999E-4</c:v>
                </c:pt>
                <c:pt idx="8">
                  <c:v>5.1456899999999999E-4</c:v>
                </c:pt>
                <c:pt idx="9">
                  <c:v>3.8351599999999998E-4</c:v>
                </c:pt>
                <c:pt idx="10">
                  <c:v>2.9054200000000002E-4</c:v>
                </c:pt>
                <c:pt idx="11">
                  <c:v>2.22198E-4</c:v>
                </c:pt>
                <c:pt idx="12">
                  <c:v>1.72232E-4</c:v>
                </c:pt>
                <c:pt idx="13">
                  <c:v>1.34747E-4</c:v>
                </c:pt>
                <c:pt idx="14">
                  <c:v>1.0614499999999999E-4</c:v>
                </c:pt>
                <c:pt idx="15">
                  <c:v>8.3950399999999995E-5</c:v>
                </c:pt>
                <c:pt idx="16">
                  <c:v>6.6366100000000001E-5</c:v>
                </c:pt>
                <c:pt idx="17">
                  <c:v>5.20354E-5</c:v>
                </c:pt>
                <c:pt idx="18">
                  <c:v>3.9875E-5</c:v>
                </c:pt>
                <c:pt idx="19">
                  <c:v>2.8109299999999999E-5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4-954A-86AD-11F371C86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168032"/>
        <c:axId val="1849592352"/>
      </c:scatterChart>
      <c:valAx>
        <c:axId val="18491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92352"/>
        <c:crosses val="autoZero"/>
        <c:crossBetween val="midCat"/>
      </c:valAx>
      <c:valAx>
        <c:axId val="1849592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6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738432</xdr:colOff>
      <xdr:row>0</xdr:row>
      <xdr:rowOff>140616</xdr:rowOff>
    </xdr:from>
    <xdr:to>
      <xdr:col>17</xdr:col>
      <xdr:colOff>170205</xdr:colOff>
      <xdr:row>28</xdr:row>
      <xdr:rowOff>78557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5F3794-F57C-B7EC-C3C4-75231EE02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6BF0-5773-1A4D-8F1D-6F6913DD6645}">
  <dimension ref="A1:D22"/>
  <sheetViews>
    <sheetView tabSelected="1" zoomScale="97" workbookViewId="0">
      <selection activeCell="P13" sqref="P13"/>
    </sheetView>
  </sheetViews>
  <sheetFormatPr baseColWidth="10" defaultRowHeight="16" x14ac:dyDescent="0.2"/>
  <cols>
    <col min="2" max="2" width="15.33203125" bestFit="1" customWidth="1"/>
    <col min="3" max="3" width="20.83203125" bestFit="1" customWidth="1"/>
    <col min="4" max="4" width="13.1640625" bestFit="1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f>0.75*(A3+A2)*(A3^2+A2^2)/(A3^2+A3*A2+A2^2)</f>
        <v>1.5</v>
      </c>
      <c r="C2" s="1">
        <v>7.1518899999999996E-2</v>
      </c>
      <c r="D2">
        <v>5.0000000000000001E-4</v>
      </c>
    </row>
    <row r="3" spans="1:4" x14ac:dyDescent="0.2">
      <c r="A3">
        <f>A2+2</f>
        <v>2</v>
      </c>
      <c r="B3">
        <f t="shared" ref="B3:B21" si="0">0.75*(A4+A3)*(A4^2+A3^2)/(A4^2+A4*A3+A3^2)</f>
        <v>3.2142857142857144</v>
      </c>
      <c r="C3" s="1">
        <v>1.35754E-2</v>
      </c>
      <c r="D3">
        <v>8.9999999999999998E-4</v>
      </c>
    </row>
    <row r="4" spans="1:4" x14ac:dyDescent="0.2">
      <c r="A4">
        <f t="shared" ref="A4:A21" si="1">A3+2</f>
        <v>4</v>
      </c>
      <c r="B4">
        <f t="shared" si="0"/>
        <v>5.1315789473684212</v>
      </c>
      <c r="C4" s="1">
        <v>5.9501700000000003E-3</v>
      </c>
      <c r="D4">
        <v>1E-3</v>
      </c>
    </row>
    <row r="5" spans="1:4" x14ac:dyDescent="0.2">
      <c r="A5">
        <f t="shared" si="1"/>
        <v>6</v>
      </c>
      <c r="B5">
        <f t="shared" si="0"/>
        <v>7.0945945945945947</v>
      </c>
      <c r="C5" s="1">
        <v>3.34367E-3</v>
      </c>
      <c r="D5">
        <v>1E-3</v>
      </c>
    </row>
    <row r="6" spans="1:4" x14ac:dyDescent="0.2">
      <c r="A6">
        <f t="shared" si="1"/>
        <v>8</v>
      </c>
      <c r="B6">
        <f t="shared" si="0"/>
        <v>9.0737704918032787</v>
      </c>
      <c r="C6" s="1">
        <v>2.1012600000000002E-3</v>
      </c>
      <c r="D6">
        <v>1E-3</v>
      </c>
    </row>
    <row r="7" spans="1:4" x14ac:dyDescent="0.2">
      <c r="A7">
        <f t="shared" si="1"/>
        <v>10</v>
      </c>
      <c r="B7">
        <f t="shared" si="0"/>
        <v>11.06043956043956</v>
      </c>
      <c r="C7" s="1">
        <v>1.40766E-3</v>
      </c>
      <c r="D7">
        <v>1E-3</v>
      </c>
    </row>
    <row r="8" spans="1:4" x14ac:dyDescent="0.2">
      <c r="A8">
        <f t="shared" si="1"/>
        <v>12</v>
      </c>
      <c r="B8">
        <f t="shared" si="0"/>
        <v>13.051181102362206</v>
      </c>
      <c r="C8" s="1">
        <v>9.8031000000000008E-4</v>
      </c>
      <c r="D8">
        <v>1E-3</v>
      </c>
    </row>
    <row r="9" spans="1:4" x14ac:dyDescent="0.2">
      <c r="A9">
        <f t="shared" si="1"/>
        <v>14</v>
      </c>
      <c r="B9">
        <f t="shared" si="0"/>
        <v>15.044378698224852</v>
      </c>
      <c r="C9" s="1">
        <v>7.0277499999999999E-4</v>
      </c>
      <c r="D9">
        <v>1.1000000000000001E-3</v>
      </c>
    </row>
    <row r="10" spans="1:4" x14ac:dyDescent="0.2">
      <c r="A10">
        <f t="shared" si="1"/>
        <v>16</v>
      </c>
      <c r="B10">
        <f t="shared" si="0"/>
        <v>17.039170506912441</v>
      </c>
      <c r="C10" s="1">
        <v>5.1456899999999999E-4</v>
      </c>
      <c r="D10">
        <v>1.1000000000000001E-3</v>
      </c>
    </row>
    <row r="11" spans="1:4" x14ac:dyDescent="0.2">
      <c r="A11">
        <f t="shared" si="1"/>
        <v>18</v>
      </c>
      <c r="B11">
        <f t="shared" si="0"/>
        <v>19.035055350553506</v>
      </c>
      <c r="C11" s="1">
        <v>3.8351599999999998E-4</v>
      </c>
      <c r="D11">
        <v>1.1999999999999999E-3</v>
      </c>
    </row>
    <row r="12" spans="1:4" x14ac:dyDescent="0.2">
      <c r="A12">
        <f t="shared" si="1"/>
        <v>20</v>
      </c>
      <c r="B12">
        <f t="shared" si="0"/>
        <v>21.031722054380666</v>
      </c>
      <c r="C12" s="1">
        <v>2.9054200000000002E-4</v>
      </c>
      <c r="D12">
        <v>1.1999999999999999E-3</v>
      </c>
    </row>
    <row r="13" spans="1:4" x14ac:dyDescent="0.2">
      <c r="A13">
        <f t="shared" si="1"/>
        <v>22</v>
      </c>
      <c r="B13">
        <f t="shared" si="0"/>
        <v>23.028967254408059</v>
      </c>
      <c r="C13" s="1">
        <v>2.22198E-4</v>
      </c>
      <c r="D13">
        <v>1.2999999999999999E-3</v>
      </c>
    </row>
    <row r="14" spans="1:4" x14ac:dyDescent="0.2">
      <c r="A14">
        <f t="shared" si="1"/>
        <v>24</v>
      </c>
      <c r="B14">
        <f t="shared" si="0"/>
        <v>25.026652452025587</v>
      </c>
      <c r="C14" s="1">
        <v>1.72232E-4</v>
      </c>
      <c r="D14">
        <v>1.4E-3</v>
      </c>
    </row>
    <row r="15" spans="1:4" x14ac:dyDescent="0.2">
      <c r="A15">
        <f t="shared" si="1"/>
        <v>26</v>
      </c>
      <c r="B15">
        <f t="shared" si="0"/>
        <v>27.024680073126142</v>
      </c>
      <c r="C15" s="1">
        <v>1.34747E-4</v>
      </c>
      <c r="D15">
        <v>1.5E-3</v>
      </c>
    </row>
    <row r="16" spans="1:4" x14ac:dyDescent="0.2">
      <c r="A16">
        <f t="shared" si="1"/>
        <v>28</v>
      </c>
      <c r="B16">
        <f t="shared" si="0"/>
        <v>29.022979397781299</v>
      </c>
      <c r="C16" s="1">
        <v>1.0614499999999999E-4</v>
      </c>
      <c r="D16">
        <v>1.6000000000000001E-3</v>
      </c>
    </row>
    <row r="17" spans="1:4" x14ac:dyDescent="0.2">
      <c r="A17">
        <f t="shared" si="1"/>
        <v>30</v>
      </c>
      <c r="B17">
        <f t="shared" si="0"/>
        <v>31.021497919556172</v>
      </c>
      <c r="C17" s="1">
        <v>8.3950399999999995E-5</v>
      </c>
      <c r="D17">
        <v>1.6999999999999999E-3</v>
      </c>
    </row>
    <row r="18" spans="1:4" x14ac:dyDescent="0.2">
      <c r="A18">
        <f t="shared" si="1"/>
        <v>32</v>
      </c>
      <c r="B18">
        <f t="shared" si="0"/>
        <v>33.020195838433295</v>
      </c>
      <c r="C18" s="1">
        <v>6.6366100000000001E-5</v>
      </c>
      <c r="D18">
        <v>1.8E-3</v>
      </c>
    </row>
    <row r="19" spans="1:4" x14ac:dyDescent="0.2">
      <c r="A19">
        <f t="shared" si="1"/>
        <v>34</v>
      </c>
      <c r="B19">
        <f t="shared" si="0"/>
        <v>35.019042437431992</v>
      </c>
      <c r="C19" s="1">
        <v>5.20354E-5</v>
      </c>
      <c r="D19">
        <v>1.9E-3</v>
      </c>
    </row>
    <row r="20" spans="1:4" x14ac:dyDescent="0.2">
      <c r="A20">
        <f t="shared" si="1"/>
        <v>36</v>
      </c>
      <c r="B20">
        <f t="shared" si="0"/>
        <v>37.018013631937684</v>
      </c>
      <c r="C20" s="1">
        <v>3.9875E-5</v>
      </c>
      <c r="D20">
        <v>2.0999999999999999E-3</v>
      </c>
    </row>
    <row r="21" spans="1:4" x14ac:dyDescent="0.2">
      <c r="A21">
        <f t="shared" si="1"/>
        <v>38</v>
      </c>
      <c r="B21">
        <f t="shared" si="0"/>
        <v>39.017090271691501</v>
      </c>
      <c r="C21" s="1">
        <v>2.8109299999999999E-5</v>
      </c>
      <c r="D21">
        <v>2.0999999999999999E-3</v>
      </c>
    </row>
    <row r="22" spans="1:4" x14ac:dyDescent="0.2">
      <c r="A22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Todd Stephen</dc:creator>
  <cp:lastModifiedBy>Palmer, Todd Stephen</cp:lastModifiedBy>
  <dcterms:created xsi:type="dcterms:W3CDTF">2026-06-18T18:36:24Z</dcterms:created>
  <dcterms:modified xsi:type="dcterms:W3CDTF">2026-06-18T18:54:25Z</dcterms:modified>
</cp:coreProperties>
</file>